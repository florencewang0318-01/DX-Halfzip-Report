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owang\Desktop\27FW DX Half Zipper Long-Sleeve  TS\"/>
    </mc:Choice>
  </mc:AlternateContent>
  <xr:revisionPtr revIDLastSave="0" documentId="13_ncr:1_{20383F43-58E6-4F00-9496-17F174F46E79}" xr6:coauthVersionLast="36" xr6:coauthVersionMax="36" xr10:uidLastSave="{00000000-0000-0000-0000-000000000000}"/>
  <bookViews>
    <workbookView xWindow="0" yWindow="0" windowWidth="19200" windowHeight="6780" xr2:uid="{00000000-000D-0000-FFFF-FFFF00000000}"/>
  </bookViews>
  <sheets>
    <sheet name="ARC'TERYX" sheetId="4" r:id="rId1"/>
    <sheet name="KOLON" sheetId="3" r:id="rId2"/>
    <sheet name="KAILAS" sheetId="5" r:id="rId3"/>
    <sheet name="DESCENTE " sheetId="6" r:id="rId4"/>
    <sheet name="LULULEMON" sheetId="7" r:id="rId5"/>
  </sheets>
  <calcPr calcId="191029"/>
</workbook>
</file>

<file path=xl/calcChain.xml><?xml version="1.0" encoding="utf-8"?>
<calcChain xmlns="http://schemas.openxmlformats.org/spreadsheetml/2006/main">
  <c r="C7" i="6" l="1"/>
  <c r="C20" i="7" l="1"/>
  <c r="C21" i="7"/>
  <c r="C22" i="7"/>
  <c r="C23" i="7"/>
  <c r="C24" i="7"/>
  <c r="C25" i="7"/>
  <c r="C26" i="7"/>
  <c r="C27" i="7"/>
  <c r="C28" i="7"/>
  <c r="C29" i="7"/>
  <c r="C19" i="7"/>
  <c r="C3" i="7"/>
  <c r="C4" i="7"/>
  <c r="C5" i="7"/>
  <c r="C6" i="7"/>
  <c r="C7" i="7"/>
  <c r="C8" i="7"/>
  <c r="C9" i="7"/>
  <c r="C10" i="7"/>
  <c r="C11" i="7"/>
  <c r="C12" i="7"/>
  <c r="C13" i="7"/>
  <c r="C14" i="7"/>
  <c r="C2" i="7"/>
  <c r="C2" i="6" l="1"/>
  <c r="C3" i="6"/>
  <c r="C4" i="6"/>
  <c r="C5" i="6"/>
  <c r="C6" i="6"/>
  <c r="C8" i="6"/>
  <c r="C9" i="6"/>
  <c r="C10" i="6"/>
  <c r="C11" i="6"/>
  <c r="C12" i="6"/>
  <c r="C13" i="6"/>
  <c r="C14" i="6"/>
  <c r="C20" i="6"/>
  <c r="C21" i="6"/>
  <c r="C22" i="6"/>
  <c r="C23" i="6"/>
  <c r="C24" i="6"/>
  <c r="C25" i="6"/>
  <c r="C26" i="6"/>
  <c r="C27" i="6"/>
  <c r="C28" i="6"/>
  <c r="C29" i="6"/>
  <c r="C18" i="5" l="1"/>
  <c r="C19" i="5"/>
  <c r="C20" i="5"/>
  <c r="C21" i="5"/>
  <c r="C22" i="5"/>
  <c r="C23" i="5"/>
  <c r="C24" i="5"/>
  <c r="C25" i="5"/>
  <c r="C26" i="5"/>
  <c r="C27" i="5"/>
  <c r="C28" i="5"/>
  <c r="C29" i="5"/>
  <c r="C17" i="5"/>
  <c r="C6" i="5"/>
  <c r="C8" i="5"/>
  <c r="C5" i="5"/>
  <c r="C10" i="5"/>
  <c r="C4" i="5"/>
  <c r="C7" i="5"/>
  <c r="C3" i="5"/>
  <c r="C11" i="5"/>
  <c r="C2" i="5"/>
  <c r="C12" i="5"/>
  <c r="C9" i="5"/>
  <c r="C17" i="4" l="1"/>
  <c r="C20" i="4"/>
  <c r="C18" i="4"/>
  <c r="C19" i="4"/>
  <c r="C21" i="4"/>
  <c r="C16" i="4"/>
  <c r="C3" i="4"/>
  <c r="C4" i="4"/>
  <c r="C5" i="4"/>
  <c r="C6" i="4"/>
  <c r="C7" i="4"/>
  <c r="C8" i="4"/>
  <c r="C9" i="4"/>
  <c r="C10" i="4"/>
  <c r="C2" i="4"/>
</calcChain>
</file>

<file path=xl/sharedStrings.xml><?xml version="1.0" encoding="utf-8"?>
<sst xmlns="http://schemas.openxmlformats.org/spreadsheetml/2006/main" count="144" uniqueCount="95">
  <si>
    <t>总计</t>
  </si>
  <si>
    <t>VOID/空间灰</t>
  </si>
  <si>
    <t>SOLARIS/暖阳橙</t>
  </si>
  <si>
    <t>Dynasty/皇朝红</t>
  </si>
  <si>
    <t>女</t>
  </si>
  <si>
    <t>男</t>
  </si>
  <si>
    <t>深青色DC-男</t>
  </si>
  <si>
    <t>浅炭灰LC-男</t>
  </si>
  <si>
    <t>深棕色DN-男</t>
  </si>
  <si>
    <t>灰褐TA-男</t>
  </si>
  <si>
    <t>深棕色DN</t>
  </si>
  <si>
    <t>蓝色BU</t>
  </si>
  <si>
    <t>浅蓝色LB</t>
  </si>
  <si>
    <t>薄荷绿MT</t>
  </si>
  <si>
    <t>浅灰LG</t>
  </si>
  <si>
    <t>梅紫色PL</t>
  </si>
  <si>
    <t>米灰色GR</t>
  </si>
  <si>
    <r>
      <rPr>
        <sz val="11"/>
        <color rgb="FF000000"/>
        <rFont val="微软雅黑"/>
        <family val="2"/>
        <charset val="134"/>
      </rPr>
      <t>占比</t>
    </r>
    <r>
      <rPr>
        <sz val="11"/>
        <color rgb="FF000000"/>
        <rFont val="Calibri"/>
        <family val="2"/>
      </rPr>
      <t>%</t>
    </r>
    <phoneticPr fontId="2" type="noConversion"/>
  </si>
  <si>
    <t>Color</t>
    <phoneticPr fontId="2" type="noConversion"/>
  </si>
  <si>
    <t>占比%</t>
    <phoneticPr fontId="2" type="noConversion"/>
  </si>
  <si>
    <t>暮苍绿</t>
  </si>
  <si>
    <t>沧蓝灰</t>
  </si>
  <si>
    <t>玄青黑</t>
  </si>
  <si>
    <t>山染绿</t>
  </si>
  <si>
    <t>KG2442143_x0004_男款_x0004_暮苍绿</t>
  </si>
  <si>
    <t>钛青蓝</t>
  </si>
  <si>
    <t>KG2442243 女 雾霾蓝</t>
  </si>
  <si>
    <t>瓦松绿</t>
  </si>
  <si>
    <t>KG2442243 女 晚空紫</t>
  </si>
  <si>
    <t>KG2442143 男款 暮苍绿</t>
  </si>
  <si>
    <t>苍烟灰</t>
  </si>
  <si>
    <t>BR-棕色</t>
  </si>
  <si>
    <t>BK-Tap Shoe</t>
  </si>
  <si>
    <t>PP-紫色</t>
  </si>
  <si>
    <t>BU-蓝色</t>
  </si>
  <si>
    <t>DK-深卡其色</t>
  </si>
  <si>
    <t>CC-炭灰色</t>
  </si>
  <si>
    <t>DG-深绿色</t>
  </si>
  <si>
    <t>LG-Dawn Blue</t>
  </si>
  <si>
    <t>CC-Raven</t>
  </si>
  <si>
    <t>BE-米色</t>
  </si>
  <si>
    <t>KK-Mulled Basil</t>
  </si>
  <si>
    <t>BR-深棕色</t>
  </si>
  <si>
    <t>大气紫</t>
  </si>
  <si>
    <t>暮光玫瑰棕</t>
  </si>
  <si>
    <t>棕榈绿/黑</t>
  </si>
  <si>
    <t>宁静蓝</t>
  </si>
  <si>
    <t>太阳灰</t>
  </si>
  <si>
    <t>暖褐灰</t>
  </si>
  <si>
    <t>蒸汽灰</t>
  </si>
  <si>
    <t>犀牛灰</t>
  </si>
  <si>
    <t>沥青蓝</t>
  </si>
  <si>
    <t>灰桉</t>
  </si>
  <si>
    <t>黑色</t>
  </si>
  <si>
    <t>杂色蒸汽灰/杂色水滴银</t>
  </si>
  <si>
    <t>黑色</t>
    <phoneticPr fontId="2" type="noConversion"/>
  </si>
  <si>
    <t>蓝黑色</t>
    <phoneticPr fontId="2" type="noConversion"/>
  </si>
  <si>
    <t>火星红</t>
    <phoneticPr fontId="2" type="noConversion"/>
  </si>
  <si>
    <t>棕色</t>
    <phoneticPr fontId="2" type="noConversion"/>
  </si>
  <si>
    <t>榄苔绿</t>
    <phoneticPr fontId="2" type="noConversion"/>
  </si>
  <si>
    <t>瀚空蓝</t>
    <phoneticPr fontId="2" type="noConversion"/>
  </si>
  <si>
    <t>蓝黑色</t>
    <phoneticPr fontId="2" type="noConversion"/>
  </si>
  <si>
    <t>浅紫色</t>
    <phoneticPr fontId="2" type="noConversion"/>
  </si>
  <si>
    <t>浅灰色</t>
    <phoneticPr fontId="2" type="noConversion"/>
  </si>
  <si>
    <t>层云蓝</t>
    <phoneticPr fontId="2" type="noConversion"/>
  </si>
  <si>
    <t>米黄色</t>
    <phoneticPr fontId="2" type="noConversion"/>
  </si>
  <si>
    <t>亮白色</t>
    <phoneticPr fontId="2" type="noConversion"/>
  </si>
  <si>
    <t>烟紫色</t>
    <phoneticPr fontId="2" type="noConversion"/>
  </si>
  <si>
    <t>黑色</t>
    <phoneticPr fontId="2" type="noConversion"/>
  </si>
  <si>
    <t>墨绿色</t>
    <phoneticPr fontId="2" type="noConversion"/>
  </si>
  <si>
    <t>淡绿色</t>
    <phoneticPr fontId="2" type="noConversion"/>
  </si>
  <si>
    <t>岩棕色</t>
    <phoneticPr fontId="2" type="noConversion"/>
  </si>
  <si>
    <t>茶绿色</t>
    <phoneticPr fontId="2" type="noConversion"/>
  </si>
  <si>
    <t>鸽灰色</t>
    <phoneticPr fontId="2" type="noConversion"/>
  </si>
  <si>
    <t>浆果红</t>
    <phoneticPr fontId="2" type="noConversion"/>
  </si>
  <si>
    <t>银灰色</t>
    <phoneticPr fontId="2" type="noConversion"/>
  </si>
  <si>
    <t>杂色灰</t>
    <phoneticPr fontId="2" type="noConversion"/>
  </si>
  <si>
    <t>杂色棕</t>
    <phoneticPr fontId="2" type="noConversion"/>
  </si>
  <si>
    <t>石墨灰</t>
    <phoneticPr fontId="2" type="noConversion"/>
  </si>
  <si>
    <t>象牙白</t>
    <phoneticPr fontId="2" type="noConversion"/>
  </si>
  <si>
    <t>女</t>
    <phoneticPr fontId="2" type="noConversion"/>
  </si>
  <si>
    <t>卡其色</t>
    <phoneticPr fontId="2" type="noConversion"/>
  </si>
  <si>
    <t>白色</t>
    <phoneticPr fontId="2" type="noConversion"/>
  </si>
  <si>
    <t>黑色</t>
    <phoneticPr fontId="2" type="noConversion"/>
  </si>
  <si>
    <t>奶油色</t>
    <phoneticPr fontId="2" type="noConversion"/>
  </si>
  <si>
    <t>深蓝色</t>
    <phoneticPr fontId="2" type="noConversion"/>
  </si>
  <si>
    <t>炭灰色</t>
    <phoneticPr fontId="2" type="noConversion"/>
  </si>
  <si>
    <t>奶油白</t>
    <phoneticPr fontId="2" type="noConversion"/>
  </si>
  <si>
    <t>薄荷绿</t>
    <phoneticPr fontId="2" type="noConversion"/>
  </si>
  <si>
    <t>红色</t>
    <phoneticPr fontId="2" type="noConversion"/>
  </si>
  <si>
    <t>浅蓝色</t>
    <phoneticPr fontId="2" type="noConversion"/>
  </si>
  <si>
    <t>米灰色</t>
    <phoneticPr fontId="2" type="noConversion"/>
  </si>
  <si>
    <t>藏蓝</t>
    <phoneticPr fontId="2" type="noConversion"/>
  </si>
  <si>
    <t>梅紫色</t>
    <phoneticPr fontId="2" type="noConversion"/>
  </si>
  <si>
    <t>烟灰色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</si>
</sst>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8" x14ac:knownFonts="1">
    <font>
      <sz val="11"/>
      <color rgb="FF000000"/>
      <name val="Calibri"/>
    </font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  <font>
      <b/>
      <sz val="11"/>
      <color rgb="FF000000"/>
      <name val="Calibri"/>
      <family val="2"/>
    </font>
    <font>
      <b/>
      <sz val="11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3" fillId="0" borderId="0" xfId="3"/>
    <xf numFmtId="0" fontId="3" fillId="0" borderId="0" xfId="3" applyAlignment="1">
      <alignment vertical="top"/>
    </xf>
    <xf numFmtId="176" fontId="3" fillId="0" borderId="0" xfId="1" applyNumberFormat="1" applyFont="1" applyAlignment="1">
      <alignment vertical="top"/>
    </xf>
    <xf numFmtId="0" fontId="3" fillId="2" borderId="1" xfId="3" applyFill="1" applyBorder="1" applyAlignment="1">
      <alignment horizontal="center" vertical="center"/>
    </xf>
    <xf numFmtId="0" fontId="3" fillId="3" borderId="0" xfId="3" applyFill="1"/>
    <xf numFmtId="9" fontId="3" fillId="0" borderId="0" xfId="2" applyFont="1" applyAlignment="1">
      <alignment horizontal="center" vertical="top"/>
    </xf>
    <xf numFmtId="9" fontId="3" fillId="0" borderId="0" xfId="2" applyFont="1" applyAlignment="1"/>
    <xf numFmtId="9" fontId="3" fillId="0" borderId="0" xfId="2" applyFont="1" applyAlignment="1">
      <alignment horizontal="center"/>
    </xf>
    <xf numFmtId="0" fontId="3" fillId="2" borderId="2" xfId="3" applyFill="1" applyBorder="1" applyAlignment="1">
      <alignment horizontal="center" vertical="center"/>
    </xf>
    <xf numFmtId="9" fontId="3" fillId="0" borderId="2" xfId="2" applyFont="1" applyBorder="1" applyAlignment="1">
      <alignment horizontal="center" vertical="top"/>
    </xf>
    <xf numFmtId="0" fontId="3" fillId="0" borderId="2" xfId="3" applyBorder="1" applyAlignment="1">
      <alignment horizontal="center" vertical="top"/>
    </xf>
    <xf numFmtId="176" fontId="3" fillId="0" borderId="2" xfId="1" applyNumberFormat="1" applyFont="1" applyBorder="1" applyAlignment="1">
      <alignment horizontal="center" vertical="top"/>
    </xf>
    <xf numFmtId="0" fontId="3" fillId="0" borderId="0" xfId="3" applyAlignment="1">
      <alignment horizontal="center"/>
    </xf>
    <xf numFmtId="0" fontId="3" fillId="2" borderId="3" xfId="3" applyFill="1" applyBorder="1" applyAlignment="1">
      <alignment horizontal="center" vertical="center"/>
    </xf>
    <xf numFmtId="9" fontId="3" fillId="0" borderId="2" xfId="2" applyFont="1" applyBorder="1" applyAlignment="1">
      <alignment horizontal="center"/>
    </xf>
    <xf numFmtId="0" fontId="3" fillId="0" borderId="2" xfId="3" applyBorder="1" applyAlignment="1">
      <alignment horizontal="center"/>
    </xf>
    <xf numFmtId="176" fontId="3" fillId="0" borderId="0" xfId="3" applyNumberFormat="1"/>
    <xf numFmtId="0" fontId="5" fillId="0" borderId="2" xfId="3" applyFont="1" applyBorder="1" applyAlignment="1">
      <alignment horizontal="center" vertical="top"/>
    </xf>
    <xf numFmtId="0" fontId="5" fillId="0" borderId="2" xfId="3" applyFont="1" applyBorder="1" applyAlignment="1">
      <alignment horizontal="center"/>
    </xf>
    <xf numFmtId="0" fontId="3" fillId="0" borderId="0" xfId="3" applyAlignment="1">
      <alignment horizontal="left"/>
    </xf>
    <xf numFmtId="0" fontId="6" fillId="0" borderId="2" xfId="3" applyFont="1" applyFill="1" applyBorder="1" applyAlignment="1">
      <alignment horizontal="left" vertical="center"/>
    </xf>
    <xf numFmtId="0" fontId="6" fillId="0" borderId="2" xfId="3" applyFont="1" applyBorder="1" applyAlignment="1">
      <alignment horizontal="center" vertical="top"/>
    </xf>
    <xf numFmtId="0" fontId="4" fillId="0" borderId="2" xfId="3" applyFont="1" applyBorder="1" applyAlignment="1">
      <alignment horizontal="center" vertical="top"/>
    </xf>
    <xf numFmtId="0" fontId="3" fillId="0" borderId="2" xfId="3" applyFill="1" applyBorder="1" applyAlignment="1">
      <alignment horizontal="left" vertical="center"/>
    </xf>
    <xf numFmtId="0" fontId="7" fillId="0" borderId="2" xfId="3" applyFont="1" applyBorder="1" applyAlignment="1">
      <alignment horizontal="center" vertical="top"/>
    </xf>
    <xf numFmtId="0" fontId="3" fillId="0" borderId="2" xfId="3" applyBorder="1" applyAlignment="1">
      <alignment vertical="top"/>
    </xf>
    <xf numFmtId="176" fontId="3" fillId="0" borderId="2" xfId="1" applyNumberFormat="1" applyFont="1" applyBorder="1" applyAlignment="1">
      <alignment vertical="top"/>
    </xf>
    <xf numFmtId="0" fontId="7" fillId="0" borderId="2" xfId="3" applyFont="1" applyBorder="1" applyAlignment="1">
      <alignment horizontal="center"/>
    </xf>
    <xf numFmtId="0" fontId="6" fillId="0" borderId="2" xfId="3" applyFont="1" applyFill="1" applyBorder="1" applyAlignment="1">
      <alignment horizontal="center" vertical="center"/>
    </xf>
    <xf numFmtId="176" fontId="0" fillId="0" borderId="2" xfId="4" applyNumberFormat="1" applyFont="1" applyBorder="1" applyAlignment="1">
      <alignment vertical="top"/>
    </xf>
    <xf numFmtId="9" fontId="0" fillId="0" borderId="2" xfId="5" applyFont="1" applyBorder="1" applyAlignment="1">
      <alignment horizontal="center"/>
    </xf>
    <xf numFmtId="9" fontId="3" fillId="0" borderId="2" xfId="5" applyFont="1" applyBorder="1" applyAlignment="1">
      <alignment horizontal="center"/>
    </xf>
    <xf numFmtId="0" fontId="4" fillId="4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left" vertical="center"/>
    </xf>
    <xf numFmtId="0" fontId="4" fillId="5" borderId="2" xfId="3" applyFont="1" applyFill="1" applyBorder="1" applyAlignment="1">
      <alignment horizontal="left" vertical="center"/>
    </xf>
    <xf numFmtId="0" fontId="4" fillId="6" borderId="2" xfId="3" applyFont="1" applyFill="1" applyBorder="1" applyAlignment="1">
      <alignment vertical="top"/>
    </xf>
    <xf numFmtId="176" fontId="3" fillId="6" borderId="2" xfId="1" applyNumberFormat="1" applyFont="1" applyFill="1" applyBorder="1" applyAlignment="1">
      <alignment vertical="top"/>
    </xf>
    <xf numFmtId="9" fontId="3" fillId="6" borderId="2" xfId="2" applyFont="1" applyFill="1" applyBorder="1" applyAlignment="1">
      <alignment horizontal="center"/>
    </xf>
    <xf numFmtId="0" fontId="3" fillId="6" borderId="2" xfId="3" applyFill="1" applyBorder="1" applyAlignment="1">
      <alignment vertical="top"/>
    </xf>
    <xf numFmtId="0" fontId="3" fillId="4" borderId="2" xfId="3" applyFill="1" applyBorder="1" applyAlignment="1">
      <alignment vertical="top"/>
    </xf>
    <xf numFmtId="176" fontId="3" fillId="4" borderId="2" xfId="1" applyNumberFormat="1" applyFont="1" applyFill="1" applyBorder="1" applyAlignment="1">
      <alignment vertical="top"/>
    </xf>
    <xf numFmtId="9" fontId="3" fillId="4" borderId="2" xfId="2" applyFont="1" applyFill="1" applyBorder="1" applyAlignment="1">
      <alignment horizontal="center"/>
    </xf>
    <xf numFmtId="0" fontId="4" fillId="4" borderId="2" xfId="3" applyFont="1" applyFill="1" applyBorder="1" applyAlignment="1">
      <alignment vertical="top"/>
    </xf>
    <xf numFmtId="176" fontId="3" fillId="4" borderId="2" xfId="3" applyNumberFormat="1" applyFill="1" applyBorder="1" applyAlignment="1">
      <alignment horizontal="center" vertical="top"/>
    </xf>
    <xf numFmtId="9" fontId="3" fillId="4" borderId="2" xfId="2" applyFont="1" applyFill="1" applyBorder="1" applyAlignment="1">
      <alignment horizontal="center" vertical="top"/>
    </xf>
    <xf numFmtId="176" fontId="3" fillId="4" borderId="2" xfId="1" applyNumberFormat="1" applyFont="1" applyFill="1" applyBorder="1" applyAlignment="1">
      <alignment horizontal="center" vertical="top"/>
    </xf>
    <xf numFmtId="176" fontId="3" fillId="6" borderId="2" xfId="3" applyNumberFormat="1" applyFill="1" applyBorder="1" applyAlignment="1">
      <alignment horizontal="center" vertical="top"/>
    </xf>
    <xf numFmtId="9" fontId="3" fillId="6" borderId="2" xfId="2" applyFont="1" applyFill="1" applyBorder="1" applyAlignment="1">
      <alignment horizontal="center" vertical="top"/>
    </xf>
    <xf numFmtId="176" fontId="3" fillId="6" borderId="2" xfId="1" applyNumberFormat="1" applyFont="1" applyFill="1" applyBorder="1" applyAlignment="1">
      <alignment horizontal="center" vertical="top"/>
    </xf>
    <xf numFmtId="0" fontId="4" fillId="7" borderId="2" xfId="3" applyFont="1" applyFill="1" applyBorder="1" applyAlignment="1">
      <alignment horizontal="center" vertical="center"/>
    </xf>
    <xf numFmtId="176" fontId="3" fillId="4" borderId="2" xfId="3" applyNumberFormat="1" applyFont="1" applyFill="1" applyBorder="1" applyAlignment="1">
      <alignment horizontal="center" vertical="center"/>
    </xf>
    <xf numFmtId="9" fontId="3" fillId="4" borderId="2" xfId="5" applyFont="1" applyFill="1" applyBorder="1" applyAlignment="1">
      <alignment horizontal="center"/>
    </xf>
    <xf numFmtId="176" fontId="0" fillId="4" borderId="2" xfId="4" applyNumberFormat="1" applyFont="1" applyFill="1" applyBorder="1" applyAlignment="1">
      <alignment vertical="top"/>
    </xf>
    <xf numFmtId="176" fontId="0" fillId="6" borderId="2" xfId="4" applyNumberFormat="1" applyFont="1" applyFill="1" applyBorder="1" applyAlignment="1">
      <alignment vertical="top"/>
    </xf>
    <xf numFmtId="9" fontId="0" fillId="6" borderId="2" xfId="5" applyFont="1" applyFill="1" applyBorder="1" applyAlignment="1">
      <alignment horizontal="center"/>
    </xf>
    <xf numFmtId="176" fontId="3" fillId="6" borderId="2" xfId="1" applyNumberFormat="1" applyFont="1" applyFill="1" applyBorder="1" applyAlignment="1"/>
    <xf numFmtId="0" fontId="6" fillId="0" borderId="2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0" fontId="4" fillId="8" borderId="2" xfId="3" applyFont="1" applyFill="1" applyBorder="1" applyAlignment="1">
      <alignment horizontal="center" vertical="center"/>
    </xf>
  </cellXfs>
  <cellStyles count="6">
    <cellStyle name="百分比" xfId="2" builtinId="5"/>
    <cellStyle name="百分比 2" xfId="5" xr:uid="{54533D7F-4667-4484-8203-73F89E04B674}"/>
    <cellStyle name="常规" xfId="0" builtinId="0"/>
    <cellStyle name="常规 2" xfId="3" xr:uid="{CC000F23-5778-47C0-98F7-F64627833B5B}"/>
    <cellStyle name="千位分隔" xfId="1" builtinId="3"/>
    <cellStyle name="千位分隔 2" xfId="4" xr:uid="{B840A77D-7073-430A-A621-15A6FB8FAC7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E1BB-4F5A-462D-B650-2FA9FC24B6CD}">
  <dimension ref="A1:E21"/>
  <sheetViews>
    <sheetView tabSelected="1" workbookViewId="0"/>
  </sheetViews>
  <sheetFormatPr defaultRowHeight="14.5" x14ac:dyDescent="0.35"/>
  <cols>
    <col min="1" max="1" width="30.1796875" style="20" customWidth="1"/>
    <col min="2" max="2" width="11.08984375" style="13" customWidth="1"/>
    <col min="3" max="4" width="11.81640625" style="13" customWidth="1"/>
    <col min="5" max="5" width="11.7265625" style="13" customWidth="1"/>
    <col min="6" max="16384" width="8.7265625" style="1"/>
  </cols>
  <sheetData>
    <row r="1" spans="1:5" ht="16.5" x14ac:dyDescent="0.35">
      <c r="A1" s="21" t="s">
        <v>18</v>
      </c>
      <c r="B1" s="22" t="s">
        <v>5</v>
      </c>
      <c r="C1" s="23" t="s">
        <v>19</v>
      </c>
      <c r="D1" s="1"/>
      <c r="E1" s="1"/>
    </row>
    <row r="2" spans="1:5" ht="16.5" x14ac:dyDescent="0.35">
      <c r="A2" s="33" t="s">
        <v>55</v>
      </c>
      <c r="B2" s="12">
        <v>1350297.55</v>
      </c>
      <c r="C2" s="10">
        <f t="shared" ref="C2:C10" si="0">B2/$B$11</f>
        <v>0.46568739519298691</v>
      </c>
      <c r="D2" s="1"/>
      <c r="E2" s="1"/>
    </row>
    <row r="3" spans="1:5" ht="16.5" x14ac:dyDescent="0.35">
      <c r="A3" s="33" t="s">
        <v>59</v>
      </c>
      <c r="B3" s="12">
        <v>507600</v>
      </c>
      <c r="C3" s="10">
        <f t="shared" si="0"/>
        <v>0.17505987609913098</v>
      </c>
      <c r="D3" s="1"/>
      <c r="E3" s="1"/>
    </row>
    <row r="4" spans="1:5" ht="16.5" x14ac:dyDescent="0.35">
      <c r="A4" s="33" t="s">
        <v>56</v>
      </c>
      <c r="B4" s="12">
        <v>299200</v>
      </c>
      <c r="C4" s="10">
        <f t="shared" si="0"/>
        <v>0.10318738165654057</v>
      </c>
      <c r="D4" s="1"/>
      <c r="E4" s="1"/>
    </row>
    <row r="5" spans="1:5" ht="16.5" x14ac:dyDescent="0.35">
      <c r="A5" s="33" t="s">
        <v>57</v>
      </c>
      <c r="B5" s="12">
        <v>228800</v>
      </c>
      <c r="C5" s="10">
        <f t="shared" si="0"/>
        <v>7.890799773735456E-2</v>
      </c>
      <c r="D5" s="1"/>
      <c r="E5" s="1"/>
    </row>
    <row r="6" spans="1:5" ht="16.5" x14ac:dyDescent="0.35">
      <c r="A6" s="33" t="s">
        <v>60</v>
      </c>
      <c r="B6" s="12">
        <v>187200</v>
      </c>
      <c r="C6" s="10">
        <f t="shared" si="0"/>
        <v>6.4561089057835544E-2</v>
      </c>
      <c r="D6" s="1"/>
      <c r="E6" s="1"/>
    </row>
    <row r="7" spans="1:5" ht="16.5" x14ac:dyDescent="0.35">
      <c r="A7" s="34" t="s">
        <v>58</v>
      </c>
      <c r="B7" s="12">
        <v>126000</v>
      </c>
      <c r="C7" s="10">
        <f t="shared" si="0"/>
        <v>4.3454579173543152E-2</v>
      </c>
      <c r="D7" s="1"/>
      <c r="E7" s="1"/>
    </row>
    <row r="8" spans="1:5" x14ac:dyDescent="0.35">
      <c r="A8" s="24" t="s">
        <v>1</v>
      </c>
      <c r="B8" s="12">
        <v>64365.17</v>
      </c>
      <c r="C8" s="10">
        <f t="shared" si="0"/>
        <v>2.2198106157012416E-2</v>
      </c>
      <c r="D8" s="1"/>
      <c r="E8" s="1"/>
    </row>
    <row r="9" spans="1:5" x14ac:dyDescent="0.35">
      <c r="A9" s="24" t="s">
        <v>2</v>
      </c>
      <c r="B9" s="12">
        <v>54768.75</v>
      </c>
      <c r="C9" s="10">
        <f t="shared" si="0"/>
        <v>1.8888515738976125E-2</v>
      </c>
      <c r="D9" s="1"/>
      <c r="E9" s="1"/>
    </row>
    <row r="10" spans="1:5" x14ac:dyDescent="0.35">
      <c r="A10" s="24" t="s">
        <v>3</v>
      </c>
      <c r="B10" s="12">
        <v>47752.77</v>
      </c>
      <c r="C10" s="10">
        <f t="shared" si="0"/>
        <v>1.6468861307309495E-2</v>
      </c>
      <c r="D10" s="1"/>
      <c r="E10" s="1"/>
    </row>
    <row r="11" spans="1:5" x14ac:dyDescent="0.35">
      <c r="A11" s="24" t="s">
        <v>0</v>
      </c>
      <c r="B11" s="12">
        <v>2899579.34</v>
      </c>
      <c r="C11" s="12"/>
      <c r="D11" s="1"/>
      <c r="E11" s="1"/>
    </row>
    <row r="15" spans="1:5" ht="16.5" x14ac:dyDescent="0.35">
      <c r="A15" s="22" t="s">
        <v>18</v>
      </c>
      <c r="B15" s="22" t="s">
        <v>4</v>
      </c>
      <c r="C15" s="25" t="s">
        <v>19</v>
      </c>
    </row>
    <row r="16" spans="1:5" ht="16.5" x14ac:dyDescent="0.35">
      <c r="A16" s="35" t="s">
        <v>55</v>
      </c>
      <c r="B16" s="12">
        <v>408546.14</v>
      </c>
      <c r="C16" s="15">
        <f t="shared" ref="C16:C21" si="1">B16/$B$21</f>
        <v>0.40267602951079895</v>
      </c>
    </row>
    <row r="17" spans="1:3" ht="16.5" x14ac:dyDescent="0.35">
      <c r="A17" s="35" t="s">
        <v>61</v>
      </c>
      <c r="B17" s="12">
        <v>224523.34</v>
      </c>
      <c r="C17" s="15">
        <f t="shared" si="1"/>
        <v>0.22129732295036039</v>
      </c>
    </row>
    <row r="18" spans="1:3" ht="16.5" x14ac:dyDescent="0.35">
      <c r="A18" s="35" t="s">
        <v>62</v>
      </c>
      <c r="B18" s="12">
        <v>218923.93</v>
      </c>
      <c r="C18" s="15">
        <f t="shared" si="1"/>
        <v>0.2157783669117522</v>
      </c>
    </row>
    <row r="19" spans="1:3" ht="16.5" x14ac:dyDescent="0.35">
      <c r="A19" s="35" t="s">
        <v>63</v>
      </c>
      <c r="B19" s="12">
        <v>140184.34</v>
      </c>
      <c r="C19" s="15">
        <f t="shared" si="1"/>
        <v>0.13817013038182632</v>
      </c>
    </row>
    <row r="20" spans="1:3" ht="16.5" x14ac:dyDescent="0.35">
      <c r="A20" s="35" t="s">
        <v>64</v>
      </c>
      <c r="B20" s="12">
        <v>22400</v>
      </c>
      <c r="C20" s="15">
        <f t="shared" si="1"/>
        <v>2.2078150245262131E-2</v>
      </c>
    </row>
    <row r="21" spans="1:3" x14ac:dyDescent="0.35">
      <c r="A21" s="24" t="s">
        <v>0</v>
      </c>
      <c r="B21" s="12">
        <v>1014577.75</v>
      </c>
      <c r="C21" s="15">
        <f t="shared" si="1"/>
        <v>1</v>
      </c>
    </row>
  </sheetData>
  <sheetProtection formatCells="0" formatColumns="0" formatRows="0" insertColumns="0" insertRows="0" insertHyperlinks="0" deleteColumns="0" deleteRows="0" sort="0" autoFilter="0" pivotTables="0"/>
  <sortState ref="A16:C20">
    <sortCondition descending="1" ref="B1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D85D-B7EF-45B2-9D64-B5C7161E81D9}">
  <dimension ref="A1:J30"/>
  <sheetViews>
    <sheetView workbookViewId="0">
      <selection activeCell="A20" sqref="A20"/>
    </sheetView>
  </sheetViews>
  <sheetFormatPr defaultRowHeight="14.5" x14ac:dyDescent="0.35"/>
  <cols>
    <col min="1" max="1" width="15.6328125" style="5" customWidth="1"/>
    <col min="2" max="2" width="11.6328125" style="13" customWidth="1"/>
    <col min="3" max="3" width="10.81640625" style="13" customWidth="1"/>
    <col min="4" max="4" width="10.81640625" style="1" customWidth="1"/>
    <col min="5" max="5" width="16.1796875" style="1" customWidth="1"/>
    <col min="6" max="6" width="12.1796875" style="1" customWidth="1"/>
    <col min="7" max="7" width="10.54296875" style="1" customWidth="1"/>
    <col min="8" max="8" width="10.36328125" style="1" customWidth="1"/>
    <col min="9" max="10" width="11.26953125" style="1" bestFit="1" customWidth="1"/>
    <col min="11" max="11" width="12.81640625" style="1" bestFit="1" customWidth="1"/>
    <col min="12" max="12" width="11.26953125" style="1" bestFit="1" customWidth="1"/>
    <col min="13" max="13" width="12.81640625" style="1" bestFit="1" customWidth="1"/>
    <col min="14" max="16" width="11.26953125" style="1" bestFit="1" customWidth="1"/>
    <col min="17" max="17" width="12.81640625" style="1" bestFit="1" customWidth="1"/>
    <col min="18" max="18" width="11.26953125" style="1" bestFit="1" customWidth="1"/>
    <col min="19" max="19" width="12.81640625" style="1" bestFit="1" customWidth="1"/>
    <col min="20" max="22" width="11.26953125" style="1" bestFit="1" customWidth="1"/>
    <col min="23" max="23" width="12.81640625" style="1" bestFit="1" customWidth="1"/>
    <col min="24" max="24" width="11.26953125" style="1" bestFit="1" customWidth="1"/>
    <col min="25" max="25" width="13.90625" style="1" bestFit="1" customWidth="1"/>
    <col min="26" max="16384" width="8.7265625" style="1"/>
  </cols>
  <sheetData>
    <row r="1" spans="1:10" ht="16.5" x14ac:dyDescent="0.35">
      <c r="A1" s="21" t="s">
        <v>18</v>
      </c>
      <c r="B1" s="11" t="s">
        <v>5</v>
      </c>
      <c r="C1" s="18" t="s">
        <v>17</v>
      </c>
      <c r="D1" s="2"/>
    </row>
    <row r="2" spans="1:10" ht="16.5" x14ac:dyDescent="0.35">
      <c r="A2" s="50" t="s">
        <v>55</v>
      </c>
      <c r="B2" s="44">
        <v>6414482.3500000006</v>
      </c>
      <c r="C2" s="45">
        <v>0.44295338262769968</v>
      </c>
      <c r="D2" s="2"/>
    </row>
    <row r="3" spans="1:10" ht="16.5" x14ac:dyDescent="0.35">
      <c r="A3" s="50" t="s">
        <v>91</v>
      </c>
      <c r="B3" s="46">
        <v>1788865.1</v>
      </c>
      <c r="C3" s="45">
        <v>0.12353044312447728</v>
      </c>
      <c r="D3" s="6"/>
      <c r="I3" s="17"/>
      <c r="J3" s="7"/>
    </row>
    <row r="4" spans="1:10" ht="16.5" x14ac:dyDescent="0.35">
      <c r="A4" s="50" t="s">
        <v>92</v>
      </c>
      <c r="B4" s="46">
        <v>1243767.55</v>
      </c>
      <c r="C4" s="45">
        <v>8.5888621000736978E-2</v>
      </c>
      <c r="D4" s="6"/>
    </row>
    <row r="5" spans="1:10" ht="16.5" x14ac:dyDescent="0.35">
      <c r="A5" s="50" t="s">
        <v>93</v>
      </c>
      <c r="B5" s="46">
        <v>962083.6</v>
      </c>
      <c r="C5" s="45">
        <v>6.6436878572225674E-2</v>
      </c>
      <c r="D5" s="6"/>
    </row>
    <row r="6" spans="1:10" ht="16.5" x14ac:dyDescent="0.35">
      <c r="A6" s="50" t="s">
        <v>94</v>
      </c>
      <c r="B6" s="46">
        <v>897387.2</v>
      </c>
      <c r="C6" s="45">
        <v>6.196925551861563E-2</v>
      </c>
      <c r="D6" s="6"/>
    </row>
    <row r="7" spans="1:10" x14ac:dyDescent="0.35">
      <c r="A7" s="9" t="s">
        <v>9</v>
      </c>
      <c r="B7" s="12">
        <v>720270</v>
      </c>
      <c r="C7" s="10">
        <v>4.9738391267886685E-2</v>
      </c>
      <c r="D7" s="6"/>
    </row>
    <row r="8" spans="1:10" x14ac:dyDescent="0.35">
      <c r="A8" s="9" t="s">
        <v>11</v>
      </c>
      <c r="B8" s="12">
        <v>449450</v>
      </c>
      <c r="C8" s="10">
        <v>3.1036861115070279E-2</v>
      </c>
      <c r="D8" s="6"/>
    </row>
    <row r="9" spans="1:10" x14ac:dyDescent="0.35">
      <c r="A9" s="9" t="s">
        <v>10</v>
      </c>
      <c r="B9" s="12">
        <v>380711.19</v>
      </c>
      <c r="C9" s="10">
        <v>2.629008861716127E-2</v>
      </c>
      <c r="D9" s="6"/>
    </row>
    <row r="10" spans="1:10" x14ac:dyDescent="0.35">
      <c r="A10" s="9" t="s">
        <v>14</v>
      </c>
      <c r="B10" s="12">
        <v>356324.56</v>
      </c>
      <c r="C10" s="10">
        <v>2.4606064925149686E-2</v>
      </c>
      <c r="D10" s="6"/>
    </row>
    <row r="11" spans="1:10" x14ac:dyDescent="0.35">
      <c r="A11" s="9" t="s">
        <v>6</v>
      </c>
      <c r="B11" s="12">
        <v>345666.2</v>
      </c>
      <c r="C11" s="10">
        <v>2.3870049708697536E-2</v>
      </c>
      <c r="D11" s="6"/>
    </row>
    <row r="12" spans="1:10" x14ac:dyDescent="0.35">
      <c r="A12" s="9" t="s">
        <v>8</v>
      </c>
      <c r="B12" s="12">
        <v>345580.64</v>
      </c>
      <c r="C12" s="10">
        <v>2.3864141345504731E-2</v>
      </c>
      <c r="D12" s="6"/>
      <c r="E12" s="14"/>
      <c r="F12" s="3"/>
      <c r="G12" s="8"/>
    </row>
    <row r="13" spans="1:10" x14ac:dyDescent="0.35">
      <c r="A13" s="9" t="s">
        <v>7</v>
      </c>
      <c r="B13" s="12">
        <v>280350</v>
      </c>
      <c r="C13" s="10">
        <v>1.9359626240093342E-2</v>
      </c>
      <c r="D13" s="6"/>
      <c r="E13" s="4"/>
      <c r="F13" s="3"/>
      <c r="G13" s="8"/>
    </row>
    <row r="14" spans="1:10" x14ac:dyDescent="0.35">
      <c r="A14" s="9" t="s">
        <v>13</v>
      </c>
      <c r="B14" s="12">
        <v>272032.09000000003</v>
      </c>
      <c r="C14" s="10">
        <v>1.8785231274162421E-2</v>
      </c>
      <c r="D14" s="6"/>
      <c r="E14" s="4"/>
      <c r="F14" s="3"/>
      <c r="G14" s="8"/>
    </row>
    <row r="15" spans="1:10" x14ac:dyDescent="0.35">
      <c r="A15" s="9" t="s">
        <v>12</v>
      </c>
      <c r="B15" s="12">
        <v>24197.52</v>
      </c>
      <c r="C15" s="10">
        <v>1.6709646625189352E-3</v>
      </c>
      <c r="D15" s="6"/>
      <c r="G15" s="8"/>
    </row>
    <row r="16" spans="1:10" x14ac:dyDescent="0.35">
      <c r="A16" s="9" t="s">
        <v>0</v>
      </c>
      <c r="B16" s="12">
        <v>14481167.999999998</v>
      </c>
      <c r="C16" s="10"/>
      <c r="D16" s="6"/>
    </row>
    <row r="17" spans="1:4" x14ac:dyDescent="0.35">
      <c r="D17" s="6"/>
    </row>
    <row r="18" spans="1:4" x14ac:dyDescent="0.35">
      <c r="D18" s="6"/>
    </row>
    <row r="20" spans="1:4" ht="16.5" x14ac:dyDescent="0.45">
      <c r="A20" s="21" t="s">
        <v>18</v>
      </c>
      <c r="B20" s="11" t="s">
        <v>4</v>
      </c>
      <c r="C20" s="19" t="s">
        <v>17</v>
      </c>
    </row>
    <row r="21" spans="1:4" ht="16.5" x14ac:dyDescent="0.35">
      <c r="A21" s="59" t="s">
        <v>55</v>
      </c>
      <c r="B21" s="47">
        <v>4499250.9000000004</v>
      </c>
      <c r="C21" s="48">
        <v>0.50524588411939653</v>
      </c>
    </row>
    <row r="22" spans="1:4" ht="16.5" x14ac:dyDescent="0.35">
      <c r="A22" s="59" t="s">
        <v>87</v>
      </c>
      <c r="B22" s="49">
        <v>2229522.86</v>
      </c>
      <c r="C22" s="38">
        <v>0.25036551052645351</v>
      </c>
    </row>
    <row r="23" spans="1:4" ht="16.5" x14ac:dyDescent="0.35">
      <c r="A23" s="59" t="s">
        <v>88</v>
      </c>
      <c r="B23" s="49">
        <v>765125.34</v>
      </c>
      <c r="C23" s="38">
        <v>8.5920175927609158E-2</v>
      </c>
    </row>
    <row r="24" spans="1:4" ht="16.5" x14ac:dyDescent="0.35">
      <c r="A24" s="59" t="s">
        <v>89</v>
      </c>
      <c r="B24" s="49">
        <v>429875.82</v>
      </c>
      <c r="C24" s="38">
        <v>4.8273144477773082E-2</v>
      </c>
    </row>
    <row r="25" spans="1:4" ht="16.5" x14ac:dyDescent="0.35">
      <c r="A25" s="59" t="s">
        <v>90</v>
      </c>
      <c r="B25" s="49">
        <v>381141.21</v>
      </c>
      <c r="C25" s="38">
        <v>4.2800464321913367E-2</v>
      </c>
    </row>
    <row r="26" spans="1:4" x14ac:dyDescent="0.35">
      <c r="A26" s="9" t="s">
        <v>16</v>
      </c>
      <c r="B26" s="12">
        <v>370177.35</v>
      </c>
      <c r="C26" s="15">
        <v>4.1569271560678085E-2</v>
      </c>
    </row>
    <row r="27" spans="1:4" x14ac:dyDescent="0.35">
      <c r="A27" s="9" t="s">
        <v>15</v>
      </c>
      <c r="B27" s="12">
        <v>128692.5</v>
      </c>
      <c r="C27" s="15">
        <v>1.4451595918341749E-2</v>
      </c>
    </row>
    <row r="28" spans="1:4" x14ac:dyDescent="0.35">
      <c r="A28" s="9" t="s">
        <v>10</v>
      </c>
      <c r="B28" s="12">
        <v>96425.82</v>
      </c>
      <c r="C28" s="15">
        <v>1.0828191127958166E-2</v>
      </c>
    </row>
    <row r="29" spans="1:4" x14ac:dyDescent="0.35">
      <c r="A29" s="9" t="s">
        <v>14</v>
      </c>
      <c r="B29" s="12">
        <v>4860.05</v>
      </c>
      <c r="C29" s="15">
        <v>5.457620198763473E-4</v>
      </c>
    </row>
    <row r="30" spans="1:4" x14ac:dyDescent="0.35">
      <c r="A30" s="9" t="s">
        <v>0</v>
      </c>
      <c r="B30" s="12">
        <v>8905071.8499999996</v>
      </c>
      <c r="C30" s="15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CC6E-468E-4DBC-BC89-FDEE45528877}">
  <dimension ref="A1:C29"/>
  <sheetViews>
    <sheetView workbookViewId="0">
      <selection activeCell="E9" sqref="E9"/>
    </sheetView>
  </sheetViews>
  <sheetFormatPr defaultRowHeight="14.5" x14ac:dyDescent="0.35"/>
  <cols>
    <col min="1" max="1" width="20.6328125" style="1" customWidth="1"/>
    <col min="2" max="2" width="12.36328125" style="1" customWidth="1"/>
    <col min="3" max="3" width="10.08984375" style="13" customWidth="1"/>
    <col min="4" max="16384" width="8.7265625" style="1"/>
  </cols>
  <sheetData>
    <row r="1" spans="1:3" ht="16.5" x14ac:dyDescent="0.45">
      <c r="A1" s="57" t="s">
        <v>18</v>
      </c>
      <c r="B1" s="57" t="s">
        <v>4</v>
      </c>
      <c r="C1" s="28" t="s">
        <v>19</v>
      </c>
    </row>
    <row r="2" spans="1:3" ht="16.5" x14ac:dyDescent="0.35">
      <c r="A2" s="36" t="s">
        <v>65</v>
      </c>
      <c r="B2" s="37">
        <v>270247.93</v>
      </c>
      <c r="C2" s="38">
        <f t="shared" ref="C2:C12" si="0">B2/$B$12</f>
        <v>0.23787460244599984</v>
      </c>
    </row>
    <row r="3" spans="1:3" ht="16.5" x14ac:dyDescent="0.35">
      <c r="A3" s="36" t="s">
        <v>66</v>
      </c>
      <c r="B3" s="37">
        <v>203187.62</v>
      </c>
      <c r="C3" s="38">
        <f t="shared" si="0"/>
        <v>0.17884752837680898</v>
      </c>
    </row>
    <row r="4" spans="1:3" ht="16.5" x14ac:dyDescent="0.35">
      <c r="A4" s="36" t="s">
        <v>62</v>
      </c>
      <c r="B4" s="37">
        <v>149944.51999999999</v>
      </c>
      <c r="C4" s="38">
        <f t="shared" si="0"/>
        <v>0.13198248395077911</v>
      </c>
    </row>
    <row r="5" spans="1:3" ht="16.5" x14ac:dyDescent="0.35">
      <c r="A5" s="36" t="s">
        <v>61</v>
      </c>
      <c r="B5" s="37">
        <v>146062.75</v>
      </c>
      <c r="C5" s="38">
        <f t="shared" si="0"/>
        <v>0.12856571589066182</v>
      </c>
    </row>
    <row r="6" spans="1:3" ht="16.5" x14ac:dyDescent="0.35">
      <c r="A6" s="36" t="s">
        <v>67</v>
      </c>
      <c r="B6" s="37">
        <v>97609.61</v>
      </c>
      <c r="C6" s="38">
        <f t="shared" si="0"/>
        <v>8.5916836342313854E-2</v>
      </c>
    </row>
    <row r="7" spans="1:3" x14ac:dyDescent="0.35">
      <c r="A7" s="26" t="s">
        <v>22</v>
      </c>
      <c r="B7" s="27">
        <v>79563.08</v>
      </c>
      <c r="C7" s="15">
        <f t="shared" si="0"/>
        <v>7.0032122075381981E-2</v>
      </c>
    </row>
    <row r="8" spans="1:3" x14ac:dyDescent="0.35">
      <c r="A8" s="26" t="s">
        <v>28</v>
      </c>
      <c r="B8" s="27">
        <v>76597.75</v>
      </c>
      <c r="C8" s="15">
        <f t="shared" si="0"/>
        <v>6.7422012555315727E-2</v>
      </c>
    </row>
    <row r="9" spans="1:3" x14ac:dyDescent="0.35">
      <c r="A9" s="26" t="s">
        <v>30</v>
      </c>
      <c r="B9" s="27">
        <v>62765.54</v>
      </c>
      <c r="C9" s="15">
        <f t="shared" si="0"/>
        <v>5.524677978036132E-2</v>
      </c>
    </row>
    <row r="10" spans="1:3" x14ac:dyDescent="0.35">
      <c r="A10" s="26" t="s">
        <v>26</v>
      </c>
      <c r="B10" s="27">
        <v>48355.29</v>
      </c>
      <c r="C10" s="15">
        <f t="shared" si="0"/>
        <v>4.2562751118615537E-2</v>
      </c>
    </row>
    <row r="11" spans="1:3" x14ac:dyDescent="0.35">
      <c r="A11" s="26" t="s">
        <v>20</v>
      </c>
      <c r="B11" s="27">
        <v>1760</v>
      </c>
      <c r="C11" s="15">
        <f t="shared" si="0"/>
        <v>1.5491674637617382E-3</v>
      </c>
    </row>
    <row r="12" spans="1:3" x14ac:dyDescent="0.35">
      <c r="A12" s="26" t="s">
        <v>0</v>
      </c>
      <c r="B12" s="27">
        <v>1136094.0900000001</v>
      </c>
      <c r="C12" s="15">
        <f t="shared" si="0"/>
        <v>1</v>
      </c>
    </row>
    <row r="16" spans="1:3" ht="16.5" x14ac:dyDescent="0.45">
      <c r="A16" s="29" t="s">
        <v>18</v>
      </c>
      <c r="B16" s="29" t="s">
        <v>5</v>
      </c>
      <c r="C16" s="28" t="s">
        <v>19</v>
      </c>
    </row>
    <row r="17" spans="1:3" ht="16.5" x14ac:dyDescent="0.35">
      <c r="A17" s="43" t="s">
        <v>68</v>
      </c>
      <c r="B17" s="41">
        <v>2812991.56</v>
      </c>
      <c r="C17" s="42">
        <f>B17/$B$29</f>
        <v>0.42866352783041012</v>
      </c>
    </row>
    <row r="18" spans="1:3" ht="16.5" x14ac:dyDescent="0.35">
      <c r="A18" s="43" t="s">
        <v>69</v>
      </c>
      <c r="B18" s="41">
        <v>798753</v>
      </c>
      <c r="C18" s="42">
        <f t="shared" ref="C18:C29" si="1">B18/$B$29</f>
        <v>0.12171962536749437</v>
      </c>
    </row>
    <row r="19" spans="1:3" ht="16.5" x14ac:dyDescent="0.35">
      <c r="A19" s="43" t="s">
        <v>70</v>
      </c>
      <c r="B19" s="41">
        <v>739081.24</v>
      </c>
      <c r="C19" s="42">
        <f t="shared" si="1"/>
        <v>0.11262642099490479</v>
      </c>
    </row>
    <row r="20" spans="1:3" ht="16.5" x14ac:dyDescent="0.35">
      <c r="A20" s="43" t="s">
        <v>71</v>
      </c>
      <c r="B20" s="41">
        <v>570693.6</v>
      </c>
      <c r="C20" s="42">
        <f t="shared" si="1"/>
        <v>8.696632274511229E-2</v>
      </c>
    </row>
    <row r="21" spans="1:3" ht="16.5" x14ac:dyDescent="0.35">
      <c r="A21" s="43" t="s">
        <v>72</v>
      </c>
      <c r="B21" s="41">
        <v>519367</v>
      </c>
      <c r="C21" s="42">
        <f t="shared" si="1"/>
        <v>7.914481281227044E-2</v>
      </c>
    </row>
    <row r="22" spans="1:3" x14ac:dyDescent="0.35">
      <c r="A22" s="26" t="s">
        <v>27</v>
      </c>
      <c r="B22" s="27">
        <v>333300</v>
      </c>
      <c r="C22" s="15">
        <f t="shared" si="1"/>
        <v>5.0790608780168424E-2</v>
      </c>
    </row>
    <row r="23" spans="1:3" x14ac:dyDescent="0.35">
      <c r="A23" s="26" t="s">
        <v>21</v>
      </c>
      <c r="B23" s="27">
        <v>327800</v>
      </c>
      <c r="C23" s="15">
        <f t="shared" si="1"/>
        <v>4.9952479922409872E-2</v>
      </c>
    </row>
    <row r="24" spans="1:3" x14ac:dyDescent="0.35">
      <c r="A24" s="26" t="s">
        <v>23</v>
      </c>
      <c r="B24" s="27">
        <v>172833.32</v>
      </c>
      <c r="C24" s="15">
        <f t="shared" si="1"/>
        <v>2.6337562377130693E-2</v>
      </c>
    </row>
    <row r="25" spans="1:3" x14ac:dyDescent="0.35">
      <c r="A25" s="26" t="s">
        <v>20</v>
      </c>
      <c r="B25" s="27">
        <v>95493.25</v>
      </c>
      <c r="C25" s="15">
        <f t="shared" si="1"/>
        <v>1.4551936099300385E-2</v>
      </c>
    </row>
    <row r="26" spans="1:3" x14ac:dyDescent="0.35">
      <c r="A26" s="26" t="s">
        <v>29</v>
      </c>
      <c r="B26" s="27">
        <v>84904.71</v>
      </c>
      <c r="C26" s="15">
        <f t="shared" si="1"/>
        <v>1.293837956556752E-2</v>
      </c>
    </row>
    <row r="27" spans="1:3" x14ac:dyDescent="0.35">
      <c r="A27" s="26" t="s">
        <v>25</v>
      </c>
      <c r="B27" s="27">
        <v>63309.03</v>
      </c>
      <c r="C27" s="15">
        <f t="shared" si="1"/>
        <v>9.6474772726731061E-3</v>
      </c>
    </row>
    <row r="28" spans="1:3" x14ac:dyDescent="0.35">
      <c r="A28" s="26" t="s">
        <v>24</v>
      </c>
      <c r="B28" s="27">
        <v>43710.05</v>
      </c>
      <c r="C28" s="15">
        <f t="shared" si="1"/>
        <v>6.6608462325580594E-3</v>
      </c>
    </row>
    <row r="29" spans="1:3" x14ac:dyDescent="0.35">
      <c r="A29" s="26" t="s">
        <v>0</v>
      </c>
      <c r="B29" s="27">
        <v>6562236.7599999998</v>
      </c>
      <c r="C29" s="15">
        <f t="shared" si="1"/>
        <v>1</v>
      </c>
    </row>
  </sheetData>
  <sheetProtection formatCells="0" formatColumns="0" formatRows="0" insertColumns="0" insertRows="0" insertHyperlinks="0" deleteColumns="0" deleteRows="0" sort="0" autoFilter="0" pivotTables="0"/>
  <sortState ref="A17:B28">
    <sortCondition descending="1" ref="B17"/>
  </sortState>
  <mergeCells count="2">
    <mergeCell ref="A1"/>
    <mergeCell ref="B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BD55-4D3B-422F-83A7-9D81BA6E1BFC}">
  <dimension ref="A1:C30"/>
  <sheetViews>
    <sheetView workbookViewId="0">
      <selection activeCell="G19" sqref="G19"/>
    </sheetView>
  </sheetViews>
  <sheetFormatPr defaultRowHeight="14.5" x14ac:dyDescent="0.35"/>
  <cols>
    <col min="1" max="1" width="15.36328125" style="1" customWidth="1"/>
    <col min="2" max="2" width="11.7265625" style="1" customWidth="1"/>
    <col min="3" max="3" width="11.81640625" style="13" customWidth="1"/>
    <col min="4" max="16384" width="8.7265625" style="1"/>
  </cols>
  <sheetData>
    <row r="1" spans="1:3" ht="16.5" x14ac:dyDescent="0.45">
      <c r="A1" s="57" t="s">
        <v>18</v>
      </c>
      <c r="B1" s="57" t="s">
        <v>5</v>
      </c>
      <c r="C1" s="28" t="s">
        <v>19</v>
      </c>
    </row>
    <row r="2" spans="1:3" ht="16.5" x14ac:dyDescent="0.35">
      <c r="A2" s="33" t="s">
        <v>55</v>
      </c>
      <c r="B2" s="51">
        <v>8352911.0800000001</v>
      </c>
      <c r="C2" s="52">
        <f t="shared" ref="C2:C14" si="0">B2/$B$15</f>
        <v>0.36995145873831586</v>
      </c>
    </row>
    <row r="3" spans="1:3" ht="16.5" x14ac:dyDescent="0.35">
      <c r="A3" s="43" t="s">
        <v>81</v>
      </c>
      <c r="B3" s="53">
        <v>3386338.88</v>
      </c>
      <c r="C3" s="52">
        <f t="shared" si="0"/>
        <v>0.14998136535152423</v>
      </c>
    </row>
    <row r="4" spans="1:3" ht="16.5" x14ac:dyDescent="0.35">
      <c r="A4" s="43" t="s">
        <v>58</v>
      </c>
      <c r="B4" s="53">
        <v>3144754.08</v>
      </c>
      <c r="C4" s="52">
        <f t="shared" si="0"/>
        <v>0.13928154485624794</v>
      </c>
    </row>
    <row r="5" spans="1:3" ht="16.5" x14ac:dyDescent="0.35">
      <c r="A5" s="43" t="s">
        <v>82</v>
      </c>
      <c r="B5" s="53">
        <v>1544638.85</v>
      </c>
      <c r="C5" s="52">
        <f t="shared" si="0"/>
        <v>6.8412244582564702E-2</v>
      </c>
    </row>
    <row r="6" spans="1:3" ht="16.5" x14ac:dyDescent="0.35">
      <c r="A6" s="43" t="s">
        <v>63</v>
      </c>
      <c r="B6" s="53">
        <v>1509407.6</v>
      </c>
      <c r="C6" s="52">
        <f t="shared" si="0"/>
        <v>6.6851848188320517E-2</v>
      </c>
    </row>
    <row r="7" spans="1:3" x14ac:dyDescent="0.35">
      <c r="A7" s="26" t="s">
        <v>42</v>
      </c>
      <c r="B7" s="30">
        <v>792589.88</v>
      </c>
      <c r="C7" s="32">
        <f t="shared" si="0"/>
        <v>3.5103903235520463E-2</v>
      </c>
    </row>
    <row r="8" spans="1:3" x14ac:dyDescent="0.35">
      <c r="A8" s="26" t="s">
        <v>32</v>
      </c>
      <c r="B8" s="30">
        <v>657865.18000000005</v>
      </c>
      <c r="C8" s="32">
        <f t="shared" si="0"/>
        <v>2.9136929707881527E-2</v>
      </c>
    </row>
    <row r="9" spans="1:3" x14ac:dyDescent="0.35">
      <c r="A9" s="26" t="s">
        <v>36</v>
      </c>
      <c r="B9" s="30">
        <v>651820</v>
      </c>
      <c r="C9" s="32">
        <f t="shared" si="0"/>
        <v>2.8869187942416004E-2</v>
      </c>
    </row>
    <row r="10" spans="1:3" x14ac:dyDescent="0.35">
      <c r="A10" s="26" t="s">
        <v>41</v>
      </c>
      <c r="B10" s="30">
        <v>612580</v>
      </c>
      <c r="C10" s="32">
        <f t="shared" si="0"/>
        <v>2.7131243517788953E-2</v>
      </c>
    </row>
    <row r="11" spans="1:3" x14ac:dyDescent="0.35">
      <c r="A11" s="26" t="s">
        <v>40</v>
      </c>
      <c r="B11" s="30">
        <v>497383.48</v>
      </c>
      <c r="C11" s="32">
        <f t="shared" si="0"/>
        <v>2.202917548337411E-2</v>
      </c>
    </row>
    <row r="12" spans="1:3" x14ac:dyDescent="0.35">
      <c r="A12" s="26" t="s">
        <v>39</v>
      </c>
      <c r="B12" s="30">
        <v>491590</v>
      </c>
      <c r="C12" s="32">
        <f t="shared" si="0"/>
        <v>2.1772581541855549E-2</v>
      </c>
    </row>
    <row r="13" spans="1:3" x14ac:dyDescent="0.35">
      <c r="A13" s="26" t="s">
        <v>38</v>
      </c>
      <c r="B13" s="30">
        <v>486140</v>
      </c>
      <c r="C13" s="32">
        <f t="shared" si="0"/>
        <v>2.153120037176846E-2</v>
      </c>
    </row>
    <row r="14" spans="1:3" x14ac:dyDescent="0.35">
      <c r="A14" s="26" t="s">
        <v>37</v>
      </c>
      <c r="B14" s="30">
        <v>450378.44</v>
      </c>
      <c r="C14" s="32">
        <f t="shared" si="0"/>
        <v>1.9947316482421727E-2</v>
      </c>
    </row>
    <row r="15" spans="1:3" x14ac:dyDescent="0.35">
      <c r="A15" s="26" t="s">
        <v>0</v>
      </c>
      <c r="B15" s="30">
        <v>22578397.469999999</v>
      </c>
      <c r="C15" s="16"/>
    </row>
    <row r="19" spans="1:3" ht="16.5" x14ac:dyDescent="0.45">
      <c r="A19" s="29" t="s">
        <v>18</v>
      </c>
      <c r="B19" s="58" t="s">
        <v>80</v>
      </c>
      <c r="C19" s="28" t="s">
        <v>19</v>
      </c>
    </row>
    <row r="20" spans="1:3" ht="16.5" x14ac:dyDescent="0.35">
      <c r="A20" s="36" t="s">
        <v>83</v>
      </c>
      <c r="B20" s="54">
        <v>2297246.46</v>
      </c>
      <c r="C20" s="55">
        <f t="shared" ref="C20:C29" si="1">B20/$B$30</f>
        <v>0.27394519495440456</v>
      </c>
    </row>
    <row r="21" spans="1:3" ht="16.5" x14ac:dyDescent="0.35">
      <c r="A21" s="36" t="s">
        <v>84</v>
      </c>
      <c r="B21" s="54">
        <v>1527208.87</v>
      </c>
      <c r="C21" s="55">
        <f t="shared" si="1"/>
        <v>0.18211869684554696</v>
      </c>
    </row>
    <row r="22" spans="1:3" ht="16.5" x14ac:dyDescent="0.35">
      <c r="A22" s="36" t="s">
        <v>85</v>
      </c>
      <c r="B22" s="54">
        <v>1338622.0900000001</v>
      </c>
      <c r="C22" s="55">
        <f t="shared" si="1"/>
        <v>0.15962984198714253</v>
      </c>
    </row>
    <row r="23" spans="1:3" ht="16.5" x14ac:dyDescent="0.35">
      <c r="A23" s="36" t="s">
        <v>82</v>
      </c>
      <c r="B23" s="54">
        <v>970729.76</v>
      </c>
      <c r="C23" s="55">
        <f t="shared" si="1"/>
        <v>0.11575891310819229</v>
      </c>
    </row>
    <row r="24" spans="1:3" ht="16.5" x14ac:dyDescent="0.35">
      <c r="A24" s="36" t="s">
        <v>86</v>
      </c>
      <c r="B24" s="54">
        <v>553410</v>
      </c>
      <c r="C24" s="55">
        <f t="shared" si="1"/>
        <v>6.5993794300902756E-2</v>
      </c>
    </row>
    <row r="25" spans="1:3" x14ac:dyDescent="0.35">
      <c r="A25" s="26" t="s">
        <v>35</v>
      </c>
      <c r="B25" s="30">
        <v>513887.84</v>
      </c>
      <c r="C25" s="31">
        <f t="shared" si="1"/>
        <v>6.1280801587783429E-2</v>
      </c>
    </row>
    <row r="26" spans="1:3" x14ac:dyDescent="0.35">
      <c r="A26" s="26" t="s">
        <v>34</v>
      </c>
      <c r="B26" s="30">
        <v>500314.99</v>
      </c>
      <c r="C26" s="31">
        <f t="shared" si="1"/>
        <v>5.9662247765161845E-2</v>
      </c>
    </row>
    <row r="27" spans="1:3" x14ac:dyDescent="0.35">
      <c r="A27" s="26" t="s">
        <v>33</v>
      </c>
      <c r="B27" s="30">
        <v>461509</v>
      </c>
      <c r="C27" s="31">
        <f t="shared" si="1"/>
        <v>5.5034657873936736E-2</v>
      </c>
    </row>
    <row r="28" spans="1:3" x14ac:dyDescent="0.35">
      <c r="A28" s="26" t="s">
        <v>32</v>
      </c>
      <c r="B28" s="30">
        <v>124928.66</v>
      </c>
      <c r="C28" s="31">
        <f t="shared" si="1"/>
        <v>1.4897664101348761E-2</v>
      </c>
    </row>
    <row r="29" spans="1:3" x14ac:dyDescent="0.35">
      <c r="A29" s="26" t="s">
        <v>31</v>
      </c>
      <c r="B29" s="30">
        <v>97930.81</v>
      </c>
      <c r="C29" s="31">
        <f t="shared" si="1"/>
        <v>1.1678187475580113E-2</v>
      </c>
    </row>
    <row r="30" spans="1:3" x14ac:dyDescent="0.35">
      <c r="A30" s="26" t="s">
        <v>0</v>
      </c>
      <c r="B30" s="30">
        <v>8385788.4800000004</v>
      </c>
      <c r="C30" s="16"/>
    </row>
  </sheetData>
  <sheetProtection formatCells="0" formatColumns="0" formatRows="0" insertColumns="0" insertRows="0" insertHyperlinks="0" deleteColumns="0" deleteRows="0" sort="0" autoFilter="0" pivotTables="0"/>
  <mergeCells count="2">
    <mergeCell ref="A1"/>
    <mergeCell ref="B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7F1E-DCC3-4938-AB48-609985E26EB6}">
  <dimension ref="A1:D29"/>
  <sheetViews>
    <sheetView workbookViewId="0">
      <selection activeCell="F18" sqref="F18"/>
    </sheetView>
  </sheetViews>
  <sheetFormatPr defaultRowHeight="14.5" x14ac:dyDescent="0.35"/>
  <cols>
    <col min="1" max="1" width="24.36328125" style="1" customWidth="1"/>
    <col min="2" max="2" width="11" style="1" customWidth="1"/>
    <col min="3" max="3" width="10.81640625" style="1" customWidth="1"/>
    <col min="4" max="4" width="10.08984375" style="1" bestFit="1" customWidth="1"/>
    <col min="5" max="16384" width="8.7265625" style="1"/>
  </cols>
  <sheetData>
    <row r="1" spans="1:4" ht="16.5" x14ac:dyDescent="0.45">
      <c r="A1" s="57" t="s">
        <v>18</v>
      </c>
      <c r="B1" s="57" t="s">
        <v>5</v>
      </c>
      <c r="C1" s="28" t="s">
        <v>19</v>
      </c>
    </row>
    <row r="2" spans="1:4" x14ac:dyDescent="0.35">
      <c r="A2" s="40" t="s">
        <v>53</v>
      </c>
      <c r="B2" s="41">
        <v>2749883.61</v>
      </c>
      <c r="C2" s="42">
        <f t="shared" ref="C2:C14" si="0">B2/$B$14</f>
        <v>0.51246518758170501</v>
      </c>
      <c r="D2" s="17"/>
    </row>
    <row r="3" spans="1:4" ht="16.5" x14ac:dyDescent="0.35">
      <c r="A3" s="43" t="s">
        <v>76</v>
      </c>
      <c r="B3" s="41">
        <v>407862.53</v>
      </c>
      <c r="C3" s="42">
        <f t="shared" si="0"/>
        <v>7.600879803927367E-2</v>
      </c>
    </row>
    <row r="4" spans="1:4" ht="16.5" x14ac:dyDescent="0.35">
      <c r="A4" s="43" t="s">
        <v>79</v>
      </c>
      <c r="B4" s="41">
        <v>310724.03999999998</v>
      </c>
      <c r="C4" s="42">
        <f t="shared" si="0"/>
        <v>5.7906179325438865E-2</v>
      </c>
    </row>
    <row r="5" spans="1:4" ht="16.5" x14ac:dyDescent="0.35">
      <c r="A5" s="43" t="s">
        <v>78</v>
      </c>
      <c r="B5" s="41">
        <v>296580</v>
      </c>
      <c r="C5" s="42">
        <f t="shared" si="0"/>
        <v>5.5270312088947671E-2</v>
      </c>
    </row>
    <row r="6" spans="1:4" ht="16.5" x14ac:dyDescent="0.35">
      <c r="A6" s="43" t="s">
        <v>77</v>
      </c>
      <c r="B6" s="41">
        <v>296362.26</v>
      </c>
      <c r="C6" s="42">
        <f t="shared" si="0"/>
        <v>5.5229734309750672E-2</v>
      </c>
    </row>
    <row r="7" spans="1:4" x14ac:dyDescent="0.35">
      <c r="A7" s="26" t="s">
        <v>45</v>
      </c>
      <c r="B7" s="27">
        <v>281100</v>
      </c>
      <c r="C7" s="15">
        <f t="shared" si="0"/>
        <v>5.2385476863588881E-2</v>
      </c>
    </row>
    <row r="8" spans="1:4" x14ac:dyDescent="0.35">
      <c r="A8" s="26" t="s">
        <v>50</v>
      </c>
      <c r="B8" s="27">
        <v>230193.21</v>
      </c>
      <c r="C8" s="15">
        <f t="shared" si="0"/>
        <v>4.2898545274316101E-2</v>
      </c>
    </row>
    <row r="9" spans="1:4" x14ac:dyDescent="0.35">
      <c r="A9" s="26" t="s">
        <v>48</v>
      </c>
      <c r="B9" s="27">
        <v>202790</v>
      </c>
      <c r="C9" s="15">
        <f t="shared" si="0"/>
        <v>3.7791714169929526E-2</v>
      </c>
    </row>
    <row r="10" spans="1:4" x14ac:dyDescent="0.35">
      <c r="A10" s="26" t="s">
        <v>49</v>
      </c>
      <c r="B10" s="27">
        <v>170247.2</v>
      </c>
      <c r="C10" s="15">
        <f t="shared" si="0"/>
        <v>3.1727074908184952E-2</v>
      </c>
    </row>
    <row r="11" spans="1:4" x14ac:dyDescent="0.35">
      <c r="A11" s="26" t="s">
        <v>46</v>
      </c>
      <c r="B11" s="27">
        <v>164230</v>
      </c>
      <c r="C11" s="15">
        <f t="shared" si="0"/>
        <v>3.0605716347588765E-2</v>
      </c>
    </row>
    <row r="12" spans="1:4" x14ac:dyDescent="0.35">
      <c r="A12" s="26" t="s">
        <v>51</v>
      </c>
      <c r="B12" s="27">
        <v>129015.28</v>
      </c>
      <c r="C12" s="15">
        <f t="shared" si="0"/>
        <v>2.4043141108109005E-2</v>
      </c>
    </row>
    <row r="13" spans="1:4" x14ac:dyDescent="0.35">
      <c r="A13" s="26" t="s">
        <v>54</v>
      </c>
      <c r="B13" s="27">
        <v>127002.92</v>
      </c>
      <c r="C13" s="15">
        <f t="shared" si="0"/>
        <v>2.3668119983166949E-2</v>
      </c>
    </row>
    <row r="14" spans="1:4" x14ac:dyDescent="0.35">
      <c r="A14" s="26" t="s">
        <v>0</v>
      </c>
      <c r="B14" s="27">
        <v>5365991.05</v>
      </c>
      <c r="C14" s="15">
        <f t="shared" si="0"/>
        <v>1</v>
      </c>
    </row>
    <row r="18" spans="1:3" ht="16.5" x14ac:dyDescent="0.45">
      <c r="A18" s="29" t="s">
        <v>18</v>
      </c>
      <c r="B18" s="58" t="s">
        <v>80</v>
      </c>
      <c r="C18" s="28" t="s">
        <v>19</v>
      </c>
    </row>
    <row r="19" spans="1:3" x14ac:dyDescent="0.35">
      <c r="A19" s="39" t="s">
        <v>53</v>
      </c>
      <c r="B19" s="56">
        <v>1860868.38</v>
      </c>
      <c r="C19" s="38">
        <f>B19/$B$29</f>
        <v>0.29999174875674084</v>
      </c>
    </row>
    <row r="20" spans="1:3" ht="16.5" x14ac:dyDescent="0.35">
      <c r="A20" s="36" t="s">
        <v>63</v>
      </c>
      <c r="B20" s="37">
        <v>1581393.73</v>
      </c>
      <c r="C20" s="38">
        <f t="shared" ref="C20:C29" si="1">B20/$B$29</f>
        <v>0.25493746663353228</v>
      </c>
    </row>
    <row r="21" spans="1:3" ht="16.5" x14ac:dyDescent="0.35">
      <c r="A21" s="36" t="s">
        <v>73</v>
      </c>
      <c r="B21" s="37">
        <v>662182.6</v>
      </c>
      <c r="C21" s="38">
        <f t="shared" si="1"/>
        <v>0.10675086873703847</v>
      </c>
    </row>
    <row r="22" spans="1:3" ht="16.5" x14ac:dyDescent="0.35">
      <c r="A22" s="36" t="s">
        <v>74</v>
      </c>
      <c r="B22" s="37">
        <v>615409.04</v>
      </c>
      <c r="C22" s="38">
        <f t="shared" si="1"/>
        <v>9.9210474042396857E-2</v>
      </c>
    </row>
    <row r="23" spans="1:3" ht="16.5" x14ac:dyDescent="0.35">
      <c r="A23" s="36" t="s">
        <v>75</v>
      </c>
      <c r="B23" s="37">
        <v>437482.6</v>
      </c>
      <c r="C23" s="38">
        <f t="shared" si="1"/>
        <v>7.0526842003003867E-2</v>
      </c>
    </row>
    <row r="24" spans="1:3" x14ac:dyDescent="0.35">
      <c r="A24" s="26" t="s">
        <v>43</v>
      </c>
      <c r="B24" s="27">
        <v>419721.92</v>
      </c>
      <c r="C24" s="15">
        <f t="shared" si="1"/>
        <v>6.7663631735381993E-2</v>
      </c>
    </row>
    <row r="25" spans="1:3" x14ac:dyDescent="0.35">
      <c r="A25" s="26" t="s">
        <v>52</v>
      </c>
      <c r="B25" s="27">
        <v>286180</v>
      </c>
      <c r="C25" s="15">
        <f t="shared" si="1"/>
        <v>4.6135255766559968E-2</v>
      </c>
    </row>
    <row r="26" spans="1:3" x14ac:dyDescent="0.35">
      <c r="A26" s="26" t="s">
        <v>44</v>
      </c>
      <c r="B26" s="27">
        <v>174102.39</v>
      </c>
      <c r="C26" s="15">
        <f t="shared" si="1"/>
        <v>2.8067154560833644E-2</v>
      </c>
    </row>
    <row r="27" spans="1:3" x14ac:dyDescent="0.35">
      <c r="A27" s="26" t="s">
        <v>47</v>
      </c>
      <c r="B27" s="27">
        <v>156931.67000000001</v>
      </c>
      <c r="C27" s="15">
        <f t="shared" si="1"/>
        <v>2.5299052111689795E-2</v>
      </c>
    </row>
    <row r="28" spans="1:3" x14ac:dyDescent="0.35">
      <c r="A28" s="26" t="s">
        <v>46</v>
      </c>
      <c r="B28" s="27">
        <v>101804.8</v>
      </c>
      <c r="C28" s="15">
        <f t="shared" si="1"/>
        <v>1.6412015117281027E-2</v>
      </c>
    </row>
    <row r="29" spans="1:3" x14ac:dyDescent="0.35">
      <c r="A29" s="26" t="s">
        <v>0</v>
      </c>
      <c r="B29" s="27">
        <v>6203065.21</v>
      </c>
      <c r="C29" s="15">
        <f t="shared" si="1"/>
        <v>1</v>
      </c>
    </row>
  </sheetData>
  <sheetProtection formatCells="0" formatColumns="0" formatRows="0" insertColumns="0" insertRows="0" insertHyperlinks="0" deleteColumns="0" deleteRows="0" sort="0" autoFilter="0" pivotTables="0"/>
  <sortState ref="A19:C28">
    <sortCondition descending="1" ref="B19"/>
  </sortState>
  <mergeCells count="2">
    <mergeCell ref="A1"/>
    <mergeCell ref="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ARC'TERYX</vt:lpstr>
      <vt:lpstr>KOLON</vt:lpstr>
      <vt:lpstr>KAILAS</vt:lpstr>
      <vt:lpstr>DESCENTE </vt:lpstr>
      <vt:lpstr>LULULEMON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ecdataway</dc:subject>
  <dc:creator>ecdataway</dc:creator>
  <cp:keywords/>
  <dc:description>ecdataway</dc:description>
  <cp:lastModifiedBy>Sumo(王苏墨) F/CN/DD/DI</cp:lastModifiedBy>
  <dcterms:created xsi:type="dcterms:W3CDTF">2026-05-07T08:46:02Z</dcterms:created>
  <dcterms:modified xsi:type="dcterms:W3CDTF">2026-05-13T06:34:48Z</dcterms:modified>
  <cp:category/>
</cp:coreProperties>
</file>